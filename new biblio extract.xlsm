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20" windowWidth="20115" windowHeight="7245"/>
  </bookViews>
  <sheets>
    <sheet name="Sheet1" sheetId="1" r:id="rId1"/>
    <sheet name="Sheet2" sheetId="2" r:id="rId2"/>
    <sheet name="Sheet3" sheetId="3" r:id="rId3"/>
  </sheets>
  <calcPr calcId="144525"/>
</workbook>
</file>

<file path=xl/calcChain.xml><?xml version="1.0" encoding="utf-8"?>
<calcChain xmlns="http://schemas.openxmlformats.org/spreadsheetml/2006/main">
  <c r="E2" i="2" l="1"/>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1"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1" i="2"/>
  <c r="C1" i="2"/>
</calcChain>
</file>

<file path=xl/sharedStrings.xml><?xml version="1.0" encoding="utf-8"?>
<sst xmlns="http://schemas.openxmlformats.org/spreadsheetml/2006/main" count="107" uniqueCount="106">
  <si>
    <t>https://patents.google.com/patent/CN102276317B/en</t>
  </si>
  <si>
    <t>https://patents.google.com/patent/CN101967292B/en</t>
  </si>
  <si>
    <t>https://patents.google.com/patent/CN101525856B/en</t>
  </si>
  <si>
    <t>https://patents.google.com/patent/CN101993558A/en</t>
  </si>
  <si>
    <t>https://patents.google.com/patent/CN106987500B/en</t>
  </si>
  <si>
    <t>https://patents.google.com/patent/CN101664103A/en</t>
  </si>
  <si>
    <t>https://patents.google.com/patent/CN102210244A/en</t>
  </si>
  <si>
    <t>https://patents.google.com/patent/CN103333923A/en</t>
  </si>
  <si>
    <t>https://patents.google.com/patent/CN101967291B/en</t>
  </si>
  <si>
    <t>https://patents.google.com/patent/CN104757415B/en</t>
  </si>
  <si>
    <t>https://patents.google.com/patent/CN101967290B/en</t>
  </si>
  <si>
    <t>https://patents.google.com/patent/CN101182249B/en</t>
  </si>
  <si>
    <t>https://patents.google.com/patent/CN105505819B/en</t>
  </si>
  <si>
    <t>https://patents.google.com/patent/CN101665700A/en</t>
  </si>
  <si>
    <t>https://patents.google.com/patent/CN101830749B/en</t>
  </si>
  <si>
    <t>https://patents.google.com/patent/CN106348817A/en</t>
  </si>
  <si>
    <t>https://patents.google.com/patent/CN1413923A/en</t>
  </si>
  <si>
    <t>https://patents.google.com/patent/CN107034152A/en</t>
  </si>
  <si>
    <t>https://patents.google.com/patent/DE69103890D1/en</t>
  </si>
  <si>
    <t>https://patents.google.com/patent/UA117563U/en</t>
  </si>
  <si>
    <t>https://patents.google.com/patent/CL2011001039A1/en</t>
  </si>
  <si>
    <t>https://patents.google.com/patent/US4839060A/en</t>
  </si>
  <si>
    <t>https://patents.google.com/patent/CN104326621A/en</t>
  </si>
  <si>
    <t>https://patents.google.com/patent/CN201540472U/en</t>
  </si>
  <si>
    <t>https://patents.google.com/patent/CN102559766A/en</t>
  </si>
  <si>
    <t>https://patents.google.com/patent/CN104560752A/en</t>
  </si>
  <si>
    <t>https://patents.google.com/patent/CN107522692A/en</t>
  </si>
  <si>
    <t>https://patents.google.com/patent/CN108410912A/en</t>
  </si>
  <si>
    <t>https://patents.google.com/patent/CN110846356A/en</t>
  </si>
  <si>
    <t>https://patents.google.com/patent/CN109831952A/en</t>
  </si>
  <si>
    <t>https://patents.google.com/patent/JPS5712995A/en</t>
  </si>
  <si>
    <t>https://patents.google.com/patent/KR20030060003A/en</t>
  </si>
  <si>
    <t>https://patents.google.com/patent/JPH10272491A/en</t>
  </si>
  <si>
    <t>https://patents.google.com/patent/CN105886577B/en</t>
  </si>
  <si>
    <t>https://patents.google.com/patent/AU2000273123A1/en</t>
  </si>
  <si>
    <t>https://patents.google.com/patent/WO2002022730A1/en</t>
  </si>
  <si>
    <t>https://patents.google.com/patent/CN110615708A/en</t>
  </si>
  <si>
    <t>Patent Number</t>
  </si>
  <si>
    <t>Assignee</t>
  </si>
  <si>
    <t>Publication Date</t>
  </si>
  <si>
    <t>Abstract</t>
  </si>
  <si>
    <t>Claims</t>
  </si>
  <si>
    <t>Inventor</t>
  </si>
  <si>
    <t>Priority Date</t>
  </si>
  <si>
    <t>https://patents.google.com/patent/</t>
  </si>
  <si>
    <t>CN102276317B</t>
  </si>
  <si>
    <t>CN101967292B</t>
  </si>
  <si>
    <t>CN101525856B</t>
  </si>
  <si>
    <t>CN101993558A</t>
  </si>
  <si>
    <t>CN106987500B</t>
  </si>
  <si>
    <t>CN101664103A</t>
  </si>
  <si>
    <t>CN102210244A</t>
  </si>
  <si>
    <t>CN103333923A</t>
  </si>
  <si>
    <t>CN101967291B</t>
  </si>
  <si>
    <t>CN104757415B</t>
  </si>
  <si>
    <t>CN101967290B</t>
  </si>
  <si>
    <t>CN101182249B</t>
  </si>
  <si>
    <t>CN105505819B</t>
  </si>
  <si>
    <t>CN101665700A</t>
  </si>
  <si>
    <t>CN101830749B</t>
  </si>
  <si>
    <t>CN106348817A</t>
  </si>
  <si>
    <t>CN1413923A</t>
  </si>
  <si>
    <t>CN107034152A</t>
  </si>
  <si>
    <t>DE69103890D1</t>
  </si>
  <si>
    <t>CL2011001039A1</t>
  </si>
  <si>
    <t>US4839060A</t>
  </si>
  <si>
    <t>CN104326621A</t>
  </si>
  <si>
    <t>CN201540472U</t>
  </si>
  <si>
    <t>CN102559766A</t>
  </si>
  <si>
    <t>CN104560752A</t>
  </si>
  <si>
    <t>CN107522692A</t>
  </si>
  <si>
    <t>CN108410912A</t>
  </si>
  <si>
    <t>CN110846356A</t>
  </si>
  <si>
    <t>CN109831952A</t>
  </si>
  <si>
    <t>JPS5712995A</t>
  </si>
  <si>
    <t>KR20030060003A</t>
  </si>
  <si>
    <t>JPH10272491A</t>
  </si>
  <si>
    <t>CN105886577B</t>
  </si>
  <si>
    <t>AU2000273123A1</t>
  </si>
  <si>
    <t>WO2002022730A1</t>
  </si>
  <si>
    <t>CN110615708A</t>
  </si>
  <si>
    <t xml:space="preserve">_x000D_
The invention belongs to the field of the manufacturing of organic fertilizers and discloses a method for producing an amino acid microbial organic fertilizer by using cassava residue and starch waste liquor. The method comprises the following steps of: dehydrating the cassava residue and the starch waste liquor until the final water content is 60 to 65 weight percent; adding 8 to 12 weight percent of humic acid, 3 to 7 weight percent of oil cake, 3 to 7 weight percent of rice bran and 0.3 to 0.5 weight percent of straw fermentation decomposing inoculant, and performing aerobic fermentation, wherein the fermentation temperature is 40 to 65 DEG C, and the fermentation cycle is 15 to 20 days; and uniformly mixing a functional strain which accounts for 3 to 5 percent of the total weight and is one or more of Bacillus mucilaginosus, bacillus subtilis, Bacillus licheniformis, Bacillus megaterium and Streptomyces jingyangensis, starch-containing waste liquor which accounts for 2 percent of the total weight and fermented residue, aerating the air and performing late curing for 5 to 7 days, and adding 1 to 3 percent of amino acid to obtain a finished product. Raw materials do not contain harmful bacteria and pathogens, harmful gas and odor are not generated in the fermentation, and the fertilizer can increase effect and stimulate plants to grow quickly._x000D_
 </t>
  </si>
  <si>
    <t>_x000D_
_x000D_
1. method of producing amino acid bio-organic fertilizer with manioc waste and starch waste liquor, it is characterized in that: the final water content that 1. makes the former fluid dewatering of manioc waste is 60～65wt%; 2. add humic acids, oil cake, rice bran and stalk fermentation decomposing agent, humic acids accounts for dehydration slag weight 8～12%, and oil cake, rice bran respectively account for 3～7%, the stalk fermentation decomposing agent accounts for 0.3%～0.5%, carry out aerobic fermentation, leavening temperature is 40～65 ℃, and fermentation period is 15～20 days; 3. with the function bacterial classification of gross weight 3%～5%, 2% starch-containing waste liquid and the 2. fermentation residue mixing of gained, the function bacterial classification is to contain one or more bacterium of colloid bacillus cereus, subtilis, Bacillus licheniformis, bacillus megaterium, Jingyang streptomycete, pass into the later stage slaking that air carried out 5～7 days, then add 1～3% amino acid and make product._x000D_
_x000D_
_x000D_
_x000D_
 _x000D_
_x000D_
2. by method of producing amino acid bio-organic fertilizer with manioc waste and starch waste liquor claimed in claim 1, it is characterized in that: 1. the dehydration of manioc waste stoste adopts first centrifuge dehydration to water content 75～80%, uses the pressure filter press filtration to water content 60～65wt% again; 2. total oxygen-supply quantity is 6～10% of fermentation materials weight in the aerobic fermentation process, and every from bottom to up turning in 24 hours._x000D_
_x000D_
_x000D_
_x000D_
 _x000D_
_x000D_
3. by method of producing amino acid bio-organic fertilizer with manioc waste and starch waste liquor claimed in claim 1, it is characterized in that: 1. aerobic fermentation is to arrange ventilator trunk in the bottom of fermentation materials, passes into air compressor machine or the blower fan air with pressure 9KPa; 2. in the later stage maturing process, the starch-containing waste liquid of sneaking into adopts the starch-containing production waste liquid of tapioca (flour).</t>
  </si>
  <si>
    <t>YUNNAN JIXING CHEMICAL CO LTD</t>
  </si>
  <si>
    <t>SHEN JING; YANG SHUXIANG</t>
  </si>
  <si>
    <t xml:space="preserve">_x000D_
The present invention discloses a method for preparing boards by using alkaline gelatinized starch as adhesive and waste vegetable fibers, which is mainly to drip sodium hydroxide at a certain concentration into starch milk to prepare the alkaline gelatinized starch adhesive first, then uniformly mix the prepared alkaline gelatinized starch adhesive and the waste vegetable fiber powder, next place the mixture in a mold and finally prepare the boards by forming and drying. In the invention, the production process is simple and easy to operate, and the boards prepared by the method do not contain harmful substances such as formaldehyde and are environmentally-friendly boards._x000D_
 </t>
  </si>
  <si>
    <t>_x000D_
_x000D_
1. with the alkali pasted starch method of tackiness agent and discarded plant fiber production sheet material, it is characterized in that: with dissolution of sodium hydroxide in tap water, make mass concentration and be 40% sodium hydroxide solution, wherein the mass ratio of starch and sodium hydroxide is 1: 0.052-0.156; Starch and tap water are mixed, make starch milk, wherein starch is 1 with the mass ratio of the tap water that disperses starch: 4-8; Under room temperature and the stirring condition, the sodium hydroxide solution that makes is added drop-wise in the starch milk, makes the alkali pasting starch adhesive; Discarded plant blending in of fibers after making the alkali pasting starch adhesive afterwards and pulverizing is even, and wherein starch is 1 with discarded plant quality of fiber ratio: 1.0-6.0, the mixture of mixing is put into mould, and behind shaping and drying, promptly make sheet material._x000D_
_x000D_
_x000D_
_x000D_
 _x000D_
_x000D_
2. according to claim 1 is the method for tackiness agent and discarded plant fiber production sheet material with the alkali pasted starch, it is characterized in that: the used starch of preparation alkali pasting starch adhesive is yam starch, W-Gum, tapioca (flour).</t>
  </si>
  <si>
    <t>UNIV INNER MONGOLIA</t>
  </si>
  <si>
    <t>BO LIN; DONGFANG LI; GUOHUA WEN; JIANXIA XING; RENGENG MU; SISI ZHANG; WEI ZHANG; YUAN ZHANG</t>
  </si>
  <si>
    <t xml:space="preserve">_x000D_
The invention belongs to the field of chemical engineering, in particular to the industry of pulping and paper making, and relates to a novel method for controlling micro-adhesive material. The method comprises: when the electronegativity of sizing agent is stronger, low molecular weight branched-chain and high substituted ratio cationic starch is taken as control agent of the micro-adhesive material; when the strength of paper is needed to be considered, low molecular weight branched chain. The method has good controllability for the micro-adhesive materials with dissolved state and colloidal state, can effectively realize the control for the micro-adhesive material, and maintains and enhances the strength performance of the page._x000D_
 </t>
  </si>
  <si>
    <t>_x000D_
_x000D_
1. little gluing thing control method, it is characterized in that low-molecular-weight straight or branched cationic starch with high substitution degree is used for little gluing thing control of secondary stock, the molecular weight of described low molecular weight linear and side chain cationic starch with high substitution degree is respectively 12,000～50,000 and 30,000,000～40,000,000, the substitution value of described low molecular weight linear or side chain cationic starch with high substitution degree is 0.50～0.94, and described low molecular weight linear or side chain cationic starch with high substitution degree comprise following preparation process:_x000D_
_x000D_
(a) preparation of straight or branched cationic starch with high substitution degree_x000D_
_x000D_
Sodium hydroxide solution is sprayed in amylose or the amylopectin equably, be under 25～30% the condition in content of water in system, add the epoxypropyl trimethylammonium chloride ammonium, 50～60 ℃ of reactions 4～6 hours, after the cooling, with alcohol immersion washing several and adjust pH to 6～7, vacuumize obtains the straight or branched cationic starch with high substitution degree;_x000D_
_x000D_
(b) preparation of low molecular weight linear or side chain cationic starch with high substitution degree_x000D_
_x000D_
Straight or branched cationic starch with high substitution degree described in (a) step is mixed with 0.1%～0.3% concentration, 90 ℃ of gelatinizations after 30 minutes, add hydrochloric acid, in 25～35 ℃ of water-baths 10～15 minutes, take out, with NaOH adjust pH to 6～7, obtain low molecular weight linear or side chain cationic starch with high substitution degree._x000D_
_x000D_
_x000D_
_x000D_
 _x000D_
_x000D_
2. according to the described little gluing thing control method of claim 1, when it is characterized in that the slurry elecrtonegativity is strong, make little gluing thing controlling agent with the low molecular weight linear cationic starch with high substitution degree; When needing to consider paper strength, make little gluing thing controlling agent with low molecular weight side chain cationic starch with high substitution degree._x000D_
_x000D_
_x000D_
_x000D_
 _x000D_
_x000D_
3. little gluing thing control method according to claim 1 is characterized in that material proportion is:_x000D_
_x000D_
In (a) step, NaOH: straight or branched starch is 1.0～1.5: 100 (g/g), the epoxypropyl trimethylammonium chloride ammonium: straight or branched starch is 0.8～1.2: 1.0 (g/g);_x000D_
_x000D_
In (b) step, hydrochloric acid: straight or branched cationic starch with high substitution degree glucose unit is 0.2～0.4: 1.0 (mol/mol)._x000D_
_x000D_
_x000D_
_x000D_
 _x000D_
_x000D_
4. according to the described little gluing thing control method of claim 1, it is characterized in that described low molecular weight linear or side chain cationic starch with high substitution degree act on the dense waste paper pulp of 2%～5% slurry.</t>
  </si>
  <si>
    <t>UNIV TIANJIN SCIENCE &amp; TECH</t>
  </si>
  <si>
    <t xml:space="preserve">_x000D_
The present invention relates to technical field of biological fermentation, provide a kind of method preparing butanol with starch-containing waste, solve the problems, such as that amylase is added in current starch-containing waste or carbohydrase production butanol cost is excessively high.Starch-containing waste is carried out sorting as fermentation raw material and ground by the present invention, and fermentation medium is prepared after high-temperature sterilization, and 4 bacterial strains of inoculation Clostridium saccharoperbutylacetonicum N1 directly carry out fermentation butanol processed.The present invention directly utilizes starch-containing waste fermenting and producing butanol, simple for process and be not required to add other auxiliary substances, and production cost reduces by 20%~30% than the conventional method of amylase or carbohydrase diastatic fermentation butanol is added._x000D_
 </t>
  </si>
  <si>
    <t xml:space="preserve">_x000D_
The invention provides a novel method for treating starch substances extracted from waste paper pulp by a microbial fuel cell and taking starch substances as main organic pollutants, which comprises two steps of saccharification by amylase, β -amylase, endo-cellulase and cyclodextrin or pullulanase, wherein the enzyme adopted for saccharification is a combined enzyme consisting of alpha-amylase, β -amylase, endo-cellulase and cyclodextrin or pullulanase, the turbidity of the saccharified starch saccharification liquid is controlled below 10-50NTU (proton exchange membrane unit) and can enter MFC (microbial fuel cell) purification and electric energy conversion treatment, the saccharified starch extraction saccharification liquid is pumped into an anode chamber of the microbial fuel cell by a peristaltic pump in a metering way, intermittent aerobic culture activated sludge is adopted as microbial cells, and N is introduced into the anode chamber2As a stirring; 0.2mol/L disodium hydrogen phosphate-potassium dihydrogen phosphate buffer solution is used as ionic liquid in the cathode chamber, and micro-particles are appropriately introduced into the cathode chamberAir is measured, dissolved oxygen is supplemented, the anode is made of carbon fiber materials, the cathode is made of stainless steel nets and serves as electrodes, the treatment temperature is 5-35 ℃, and the COD removal rate can be removed by over 60% -85% within 24 hours._x000D_
 </t>
  </si>
  <si>
    <t>LI FENGYAN; LIU TINGZHI; TIAN SHENGYAN; WANG YANYAN</t>
  </si>
  <si>
    <t xml:space="preserve">_x000D_
The present invention utilizes method starch from sweet potato wintercherry waste water improvement paddy soil and reduce rice content of beary metal, belong to agricultural technology field, its feature includes waste water improvement soil, periodically pours, rice field management process, the method for adjusting paddy soil pH value using the wintercherry waste water of starch from sweet potato production and improveing the soil organism, the activation for inhibiting heavy metal in soil achievees the purpose that reduce rice content of beary metal.The invention has many advantages, such as at low cost, easy to operate, environmentally protective for rice field improvement soil and heavy metal pollution of soil recovery technique._x000D_
 </t>
  </si>
  <si>
    <t xml:space="preserve">_x000D_
PURPOSE: To collect an amylase with high titer and to reduce the cost of waste liquor treatment, by subjecting a waste liquor of wheat starch obtained in preparing wheat starch using wheat flour consisting of starchy flour layer of wheat seed grains as a raw material to spray drying, followed by filtration, concentration, and spray drying, etc. _x000D_
_x000D_
CONSTITUTION: Wheat flour consisting of starchy flour layer of wheat seed grains or albumen part in the vicinity of its as a raw material is blended with the same amount of water to give dough, which is washed with water in a water cleaner, and separated into starchy flour milk and raw gluten. The prepared starchy flour milk is sieved, wheat bran division is removed, the milk is centrifuged by a nozzle separator, screw decanter, etc., and separated into starchy flour milk and a waste liquor. The waste liquor is subjected to spray drying to give raw enzyme powder or, concentrated under vacuum, dried under vacuum, subjected to spray drying, lyophilized, or subjected to ultrafiltration and spray drying, etc., to give the desired amylase enzyme powder._x000D_
_x000D_
COPYRIGHT: (C)1982,JPO&amp;Japio_x000D_
 </t>
  </si>
  <si>
    <t>EZAKI GLICO CO</t>
  </si>
  <si>
    <t>KATAYAMA MAKOTO; ONOUE SUSUMU</t>
  </si>
  <si>
    <t>UNIV BEIJING SCIENCE &amp; TECH</t>
  </si>
  <si>
    <t>GAO MING; OU LI; WANG FANGXIA; WANG QUNHUI; WANG YONGLIN</t>
  </si>
  <si>
    <t>YANG COUNTY ZHUHUAN ORGANIC INDUSTRY TECH CONSULTING CO LTD</t>
  </si>
  <si>
    <t>CUI YIDAN; WANG CHANGWEI; WANG YANLONG; ZHAO YIMENG; ZHOU BAOLONG; ZHOU JIA; ZHOU YANPING; ZHOU ZIHENG</t>
  </si>
  <si>
    <t>_x000D_
_x000D_
1. a kind of method preparing butanol using starch-containing waste, which is characterized in that starch-containing waste material is carried out sorting and is removed It is crushed after miscellaneous, after high-temperature sterilization, inoculation fermentation bacterial strain Clostridium saccharoperbutylacetonicum N1-4's Fermentation seed liquid directly carries out (the also referred to as acetone-butanol-ethanol fermentation or ABE hairs of production butanol fermentation under the conditions of certain temperature Ferment), fermentation seed liquid need to activate by bacterial strain and be enriched with and obtain._x000D_
_x000D_
_x000D_
_x000D_
 _x000D_
_x000D_
2. the method according to claim 1 for preparing butanol using starch-containing waste, which is characterized in that useless with starch-containing matter Object is raw material, includes the starch of breadcrumbs, kitchen garbage, industrial flour processing residue, dough slurry, potato starch processing industry Residue and corn, cassava cereal product or its industrial wood waste are not added with any nutrient salt solution in the starch-containing waste And amylase or carbohydrase._x000D_
_x000D_
_x000D_
_x000D_
 _x000D_
_x000D_
3. the method according to claim 1 for preparing butanol using starch-containing waste, which is characterized in that starch-containing waste warp Sorting smashes after removing not fermentable sundries, and at 115 DEG C~121 DEG C, 15~20min of sterilizing prepares substrate cultivation base conduct Fermentation raw material；Starch concentration in its substrate is 40~80% (w/v), initial pH value 6.0~6.5._x000D_
_x000D_
_x000D_
_x000D_
 _x000D_
_x000D_
4. the method according to claim 1 for preparing butanol using starch-containing waste, which is characterized in that the bacterial strain Clostridium saccharoperbutylacetonicum N1-4 carry out production butanol using amylose and amylopectin and send out Ferment._x000D_
_x000D_
_x000D_
_x000D_
 _x000D_
_x000D_
5. the method according to claim 1 for preparing butanol using starch-containing waste, which is characterized in that the fermentation temperature It it is 30 DEG C~35 DEG C, and 60~72h of fermentation produces butanol under anaerobic._x000D_
_x000D_
_x000D_
_x000D_
 _x000D_
_x000D_
6. the method according to claim 1 for preparing butanol using starch-containing waste, which is characterized in that described The inoculum concentration of Clostridium saccharoperbutylacetonicum N1-4 fermentation seed liquids is 10% (v/v)._x000D_
_x000D_
_x000D_
_x000D_
 _x000D_
_x000D_
7. the method according to claim 1 for preparing butanol using starch-containing waste, which is characterized in that in fermentation seed liquid Bacterial strain through thermal shock and activation after obtain, step is：Preservation contains Clostridium under the conditions of air drying The sandy soil of saccharoperbutylacetonicum N1-4 bacterial strain spores access potato glucose (PG) culture medium in right amount In, through boiling water bath thermal shock post activation culture._x000D_
_x000D_
_x000D_
_x000D_
 _x000D_
_x000D_
8. fermentation strain activation method according to claim 7, which is characterized in that containing suitable fresh in PG culture mediums Mashed potatoes, (NH4)2SO4, glucose and CaCO3, prepared through the 60min that sterilizes at 121 DEG C._x000D_
_x000D_
_x000D_
_x000D_
 _x000D_
_x000D_
9. fermentation strain activation method according to claim 7, which is characterized in that be linked into bacterial strain spore suspension fresh In PG culture mediums, after boiling water bath thermal shock 1min, Anaerobic culturel is used as activated seed liquid in subsequent production afterwards for 24 hours._x000D_
_x000D_
_x000D_
_x000D_
 _x000D_
_x000D_
10. fermentation strain enrichment method according to claim 1：Activated seed liquid is inoculated in the abundant tryptose of nitrogen source Peptone-yeast Dip powder-acetate (TYA) culture medium carries out enrichment culture, and it is 6.0~6.5 that adjusting, which is initially at pH value, under anaerobic condition 15~17h is cultivated, with obtained enrichment and efficient logarithmic phase fermentation seed liquid is in the main ABE fermentations of biomass substrate.</t>
  </si>
  <si>
    <t>_x000D_
_x000D_
1. A novel method for treating starch substances extracted from waste paper pulp by a microbial fuel cell is characterized by comprising two steps of biological enzyme saccharification and microbial fuel cell purification treatment, wherein the enzyme adopted in the saccharification step is a combined enzyme consisting of a-amylase, β -amylase, endo-cellulase and cyclodextrin enzyme or pullulanase._x000D_
_x000D_
_x000D_
_x000D_
 _x000D_
_x000D_
2. The method as claimed in claim 1, wherein the amount of the alpha-amylase is 0-25U/100g of the starch-based organic substance, the amount of the β -amylase is 5-50U/100g of the starch-based organic substance, the amount of the cyclodextrin enzyme is 0-5U/500g of the starch-based organic substance, the amount of the pullulanase is 0-5U/500g of the starch-based organic substance, and the amount of the endo-cellulase is 500-50000U/ton of the discharged waste liquid._x000D_
_x000D_
_x000D_
_x000D_
  _x000D_
_x000D_
3. The method according to claim 1 or 2, characterized in that: adding the combined enzyme into the waste liquid containing starch organic matters, keeping the temperature at 50 ℃ and pH6.5-6.8 for 24h, carrying out saccharification treatment, controlling the turbidity of the treated waste liquid to be below 10-50NTU, and then entering a microbial fuel cell treatment step._x000D_
_x000D_
_x000D_
_x000D_
 _x000D_
_x000D_
4. The method of claim 1, wherein: pumping saccharification liquid into an anode chamber of the microbial fuel cell by a peristaltic pump, controlling the glucose concentration of the saccharification liquid at 1500-2Stirring, adopting intermittent aerobic culture activated sludge as microbial thallus, wherein the inoculation amount of the activated sludge is 0.10-3.0g/L, the pH value of an anode region is controlled at 4.5-7.2, and the anode adopts a carbon fiber material; in the cathode chamber, disodium hydrogen phosphate-potassium dihydrogen phosphate buffer solution is used as ionic liquid, a small amount of air is introduced, the cathode adopts a stainless steel net as an electrode, and the treatment temperature is 5-35 ℃._x000D_
_x000D_
_x000D_
_x000D_
 _x000D_
_x000D_
5. The method of claim 4, wherein: the culture conditions of the intermittent aerobic culture activated sludge are as follows: taking an extracting solution with the extracted starch content of 0.5-1.0% as a raw material, taking sludge of a municipal sewage treatment plant as seed sludge, taking treatment solution with the inoculation amount of 0.1-0.5% of the system volume at regular time every day, and supplementing the extracting solution with the system volume of 25-30%; aeration is carried out for 2-3 hours every 24 hours, aeration is carried out for 0.5-0.75 hour every 6 hours, and the system SV 30: 15-35 percent, continuously culturing for more than 15 days, taking out a proper amount of sludge, washing twice by using tap water, and inoculating the sludge serving as the activated sludge for intermittent aerobic culture to the anode chamber of the cell.</t>
  </si>
  <si>
    <t>_x000D_
_x000D_
1. the method for improveing paddy soil using starch from sweet potato wintercherry waste water and reducing rice content of beary metal, using starch from sweet potato The method that the wintercherry waste water of production adjusts paddy soil pH value and improves the soil organism, inhibits the work of heavy metal in soil Change, achieve the purpose that reduce rice content of beary metal, feature the following steps are included:_x000D_
_x000D_
(1)) waste water improves soil: taking wintercherry waste water and the irrigation water in sweet potato process, wherein the pH value of wintercherry waste water It is 3.0~3.5, wintercherry waste water and irrigation water is mixed, obtains first time mixing water；According to soil pH range, for the first time Using mixing water full irrigation soil 1 time, so that the pH of soil is adjusted to 6.0-6.9, allows water layer to fall dry rear palladium field naturally, boil in a covered pot over a slow fire field 10 days Time can put into organic fertilizer, and then palladium field is uniformly mixed soil and fertilizer again, carry out rice seedlings cultivating；_x000D_
_x000D_
(2) it periodically pours: after rice seedlings cultivating, every 1~2 month, second obtained using wintercherry waste water and irrigation water Secondary mixing water pouring rice field is primary, and the pH value for controlling soil is 6.0-6.9；_x000D_
_x000D_
(3) rice field manages: routinely rice field management method is managed, gathers in._x000D_
_x000D_
_x000D_
_x000D_
 _x000D_
_x000D_
2. according to claim 1 improve paddy soil using starch from sweet potato wintercherry waste water and reduce rice content of beary metal Method, it is characterised in that: in step (1), wintercherry waste water and irrigation water are mixed, control first time mixing water pH For 5.0-5.5._x000D_
_x000D_
_x000D_
_x000D_
 _x000D_
_x000D_
3. according to claim 1 improve paddy soil using starch from sweet potato wintercherry waste water and reduce rice content of beary metal Method, it is characterised in that: in step (2), wintercherry waste water and irrigation water are mixed, control second of mixing water pH be 6.0-6.2。</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</si>
</sst>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u/>
      <sz val="11"/>
      <color theme="10"/>
      <name val="Calibri"/>
      <family val="2"/>
      <scheme val="minor"/>
    </font>
    <font>
      <b/>
      <sz val="18"/>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0" fillId="0" borderId="0" xfId="0" applyAlignment="1">
      <alignment vertical="center" wrapText="1"/>
    </xf>
    <xf numFmtId="0" fontId="1" fillId="2" borderId="0" xfId="0" applyFont="1" applyFill="1" applyAlignment="1">
      <alignment horizontal="center" vertical="center" wrapText="1"/>
    </xf>
    <xf numFmtId="14" fontId="0" fillId="0" borderId="0" xfId="0" applyNumberFormat="1" applyAlignment="1">
      <alignment vertical="center" wrapText="1"/>
    </xf>
    <xf numFmtId="14" fontId="1" fillId="2" borderId="0" xfId="0" applyNumberFormat="1" applyFont="1" applyFill="1" applyAlignment="1">
      <alignment horizontal="center" vertical="center" wrapText="1"/>
    </xf>
    <xf numFmtId="14" fontId="0" fillId="0" borderId="0" xfId="0" applyNumberFormat="1"/>
    <xf numFmtId="0" fontId="0" fillId="0" borderId="0" xfId="0" applyAlignment="1">
      <alignment wrapText="1"/>
    </xf>
    <xf numFmtId="0" fontId="2" fillId="0" borderId="0" xfId="1" applyAlignment="1">
      <alignment vertical="center" wrapText="1"/>
    </xf>
    <xf numFmtId="0" fontId="3"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0</xdr:row>
          <xdr:rowOff>257175</xdr:rowOff>
        </xdr:from>
        <xdr:to>
          <xdr:col>10</xdr:col>
          <xdr:colOff>142875</xdr:colOff>
          <xdr:row>1</xdr:row>
          <xdr:rowOff>142875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Biblio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patents.google.com/patent/CN102276317B/en" TargetMode="Externa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patents.google.com/patent/CN102276317B/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38"/>
  <sheetViews>
    <sheetView tabSelected="1" workbookViewId="0">
      <selection activeCell="C4" sqref="C4"/>
    </sheetView>
  </sheetViews>
  <sheetFormatPr defaultRowHeight="15" x14ac:dyDescent="0.25"/>
  <cols>
    <col min="1" max="1" width="15.5703125" customWidth="1"/>
    <col min="2" max="2" width="30.5703125" style="5" customWidth="1"/>
    <col min="3" max="3" width="17.28515625" customWidth="1"/>
    <col min="4" max="4" width="14.7109375" customWidth="1"/>
    <col min="5" max="5" width="22.85546875" customWidth="1"/>
    <col min="6" max="6" width="18" customWidth="1"/>
    <col min="7" max="7" width="18.28515625" customWidth="1"/>
  </cols>
  <sheetData>
    <row r="1" spans="1:7" ht="34.5" customHeight="1" x14ac:dyDescent="0.25">
      <c r="A1" s="2" t="s">
        <v>37</v>
      </c>
      <c r="B1" s="4" t="s">
        <v>39</v>
      </c>
      <c r="C1" s="2" t="s">
        <v>38</v>
      </c>
      <c r="D1" s="2" t="s">
        <v>40</v>
      </c>
      <c r="E1" s="2" t="s">
        <v>41</v>
      </c>
      <c r="F1" s="2" t="s">
        <v>42</v>
      </c>
      <c r="G1" s="2" t="s">
        <v>43</v>
      </c>
    </row>
    <row r="2" spans="1:7" ht="17.25" customHeight="1" x14ac:dyDescent="0.25">
      <c r="A2" s="7" t="s">
        <v>45</v>
      </c>
      <c r="B2" s="3">
        <v>40891</v>
      </c>
      <c r="C2" s="1" t="s">
        <v>83</v>
      </c>
      <c r="D2" s="1" t="s">
        <v>81</v>
      </c>
      <c r="E2" s="6" t="s">
        <v>82</v>
      </c>
      <c r="F2" t="s">
        <v>84</v>
      </c>
      <c r="G2" s="5">
        <v>40693</v>
      </c>
    </row>
    <row r="3" spans="1:7" ht="17.25" customHeight="1" x14ac:dyDescent="0.25">
      <c r="A3" s="1" t="s">
        <v>46</v>
      </c>
      <c r="B3" s="3">
        <v>40583</v>
      </c>
      <c r="C3" s="1" t="s">
        <v>87</v>
      </c>
      <c r="D3" s="1" t="s">
        <v>85</v>
      </c>
      <c r="E3" s="6" t="s">
        <v>86</v>
      </c>
      <c r="F3" t="s">
        <v>88</v>
      </c>
      <c r="G3" s="5">
        <v>40462</v>
      </c>
    </row>
    <row r="4" spans="1:7" ht="17.25" customHeight="1" x14ac:dyDescent="0.25">
      <c r="A4" s="1" t="s">
        <v>47</v>
      </c>
      <c r="B4" s="3">
        <v>40065</v>
      </c>
      <c r="C4" s="1"/>
      <c r="D4" s="1" t="s">
        <v>89</v>
      </c>
      <c r="E4" s="6" t="s">
        <v>90</v>
      </c>
      <c r="G4" s="5">
        <v>39878</v>
      </c>
    </row>
    <row r="5" spans="1:7" ht="17.25" customHeight="1" x14ac:dyDescent="0.25">
      <c r="A5" s="1" t="s">
        <v>48</v>
      </c>
      <c r="B5" s="3"/>
      <c r="C5" s="1"/>
      <c r="D5" s="1"/>
      <c r="E5" s="6"/>
      <c r="G5" s="5"/>
    </row>
    <row r="6" spans="1:7" ht="17.25" customHeight="1" x14ac:dyDescent="0.25">
      <c r="A6" s="1" t="s">
        <v>49</v>
      </c>
      <c r="B6" s="3"/>
      <c r="C6" s="1"/>
      <c r="D6" s="1"/>
      <c r="E6" s="6"/>
      <c r="G6" s="5"/>
    </row>
    <row r="7" spans="1:7" ht="17.25" customHeight="1" x14ac:dyDescent="0.25">
      <c r="A7" s="1" t="s">
        <v>50</v>
      </c>
      <c r="B7" s="3"/>
      <c r="C7" s="1"/>
      <c r="D7" s="1"/>
      <c r="E7" s="6"/>
      <c r="G7" s="5"/>
    </row>
    <row r="8" spans="1:7" ht="17.25" customHeight="1" x14ac:dyDescent="0.25">
      <c r="A8" s="1" t="s">
        <v>51</v>
      </c>
      <c r="B8" s="3"/>
      <c r="C8" s="1"/>
      <c r="D8" s="1"/>
      <c r="E8" s="6"/>
      <c r="G8" s="5"/>
    </row>
    <row r="9" spans="1:7" ht="17.25" customHeight="1" x14ac:dyDescent="0.25">
      <c r="A9" s="1" t="s">
        <v>52</v>
      </c>
      <c r="B9" s="3"/>
      <c r="C9" s="1"/>
      <c r="D9" s="1"/>
      <c r="E9" s="6"/>
      <c r="G9" s="5"/>
    </row>
    <row r="10" spans="1:7" ht="17.25" customHeight="1" x14ac:dyDescent="0.25">
      <c r="A10" s="1" t="s">
        <v>53</v>
      </c>
      <c r="B10" s="3"/>
      <c r="C10" s="1"/>
      <c r="D10" s="1"/>
      <c r="E10" s="6"/>
      <c r="G10" s="5"/>
    </row>
    <row r="11" spans="1:7" ht="17.25" customHeight="1" x14ac:dyDescent="0.25">
      <c r="A11" s="1" t="s">
        <v>54</v>
      </c>
      <c r="B11" s="3"/>
      <c r="C11" s="1"/>
      <c r="D11" s="1"/>
      <c r="E11" s="6"/>
      <c r="G11" s="5"/>
    </row>
    <row r="12" spans="1:7" ht="17.25" customHeight="1" x14ac:dyDescent="0.25">
      <c r="A12" s="1" t="s">
        <v>55</v>
      </c>
      <c r="B12" s="3"/>
      <c r="C12" s="1"/>
      <c r="D12" s="1"/>
      <c r="E12" s="6"/>
      <c r="G12" s="5"/>
    </row>
    <row r="13" spans="1:7" ht="17.25" customHeight="1" x14ac:dyDescent="0.25">
      <c r="A13" s="1" t="s">
        <v>56</v>
      </c>
      <c r="B13" s="3"/>
      <c r="C13" s="1"/>
      <c r="D13" s="1"/>
      <c r="E13" s="6"/>
      <c r="G13" s="5"/>
    </row>
    <row r="14" spans="1:7" ht="17.25" customHeight="1" x14ac:dyDescent="0.25">
      <c r="A14" s="1" t="s">
        <v>57</v>
      </c>
      <c r="B14" s="3"/>
      <c r="C14" s="1"/>
      <c r="D14" s="1"/>
      <c r="E14" s="6"/>
      <c r="G14" s="5"/>
    </row>
    <row r="15" spans="1:7" ht="17.25" customHeight="1" x14ac:dyDescent="0.25">
      <c r="A15" s="1" t="s">
        <v>58</v>
      </c>
      <c r="B15" s="3"/>
      <c r="C15" s="1"/>
      <c r="D15" s="1"/>
      <c r="E15" s="6"/>
      <c r="G15" s="5"/>
    </row>
    <row r="16" spans="1:7" ht="17.25" customHeight="1" x14ac:dyDescent="0.25">
      <c r="A16" s="1" t="s">
        <v>59</v>
      </c>
      <c r="B16" s="3"/>
      <c r="C16" s="1"/>
      <c r="D16" s="1"/>
      <c r="E16" s="6"/>
      <c r="G16" s="5"/>
    </row>
    <row r="17" spans="1:7" ht="17.25" customHeight="1" x14ac:dyDescent="0.25">
      <c r="A17" s="1" t="s">
        <v>60</v>
      </c>
      <c r="B17" s="3"/>
      <c r="C17" s="1"/>
      <c r="D17" s="1"/>
      <c r="E17" s="6"/>
      <c r="G17" s="5"/>
    </row>
    <row r="18" spans="1:7" ht="17.25" customHeight="1" x14ac:dyDescent="0.25">
      <c r="A18" s="1" t="s">
        <v>61</v>
      </c>
      <c r="B18" s="3"/>
      <c r="C18" s="1"/>
      <c r="D18" s="1"/>
      <c r="E18" s="6"/>
      <c r="G18" s="5"/>
    </row>
    <row r="19" spans="1:7" ht="17.25" customHeight="1" x14ac:dyDescent="0.25">
      <c r="A19" s="1" t="s">
        <v>62</v>
      </c>
      <c r="B19" s="3"/>
      <c r="C19" s="1"/>
      <c r="D19" s="1"/>
      <c r="E19" s="6"/>
      <c r="G19" s="5"/>
    </row>
    <row r="20" spans="1:7" ht="17.25" customHeight="1" x14ac:dyDescent="0.25">
      <c r="A20" s="1" t="s">
        <v>63</v>
      </c>
      <c r="B20" s="3"/>
      <c r="C20" s="1"/>
      <c r="D20" s="1"/>
      <c r="G20" s="5"/>
    </row>
    <row r="21" spans="1:7" ht="17.25" customHeight="1" x14ac:dyDescent="0.25">
      <c r="A21" s="8" t="s">
        <v>45</v>
      </c>
      <c r="B21" s="3"/>
      <c r="C21" s="1"/>
      <c r="D21" s="1"/>
      <c r="G21" s="5"/>
    </row>
    <row r="22" spans="1:7" ht="17.25" customHeight="1" x14ac:dyDescent="0.25">
      <c r="A22" s="1" t="s">
        <v>64</v>
      </c>
      <c r="B22" s="3"/>
      <c r="C22" s="1"/>
      <c r="D22" s="1"/>
      <c r="G22" s="5"/>
    </row>
    <row r="23" spans="1:7" ht="17.25" customHeight="1" x14ac:dyDescent="0.25">
      <c r="A23" s="1" t="s">
        <v>65</v>
      </c>
      <c r="B23" s="3"/>
      <c r="C23" s="1"/>
      <c r="D23" s="1"/>
      <c r="G23" s="5"/>
    </row>
    <row r="24" spans="1:7" ht="17.25" customHeight="1" x14ac:dyDescent="0.25">
      <c r="A24" s="1" t="s">
        <v>66</v>
      </c>
      <c r="B24" s="3"/>
      <c r="C24" s="1"/>
      <c r="D24" s="1"/>
      <c r="G24" s="5"/>
    </row>
    <row r="25" spans="1:7" ht="17.25" customHeight="1" x14ac:dyDescent="0.25">
      <c r="A25" s="1" t="s">
        <v>67</v>
      </c>
      <c r="B25" s="3"/>
      <c r="C25" s="1"/>
      <c r="D25" s="1"/>
      <c r="G25" s="5"/>
    </row>
    <row r="26" spans="1:7" ht="17.25" customHeight="1" x14ac:dyDescent="0.25">
      <c r="A26" s="1" t="s">
        <v>68</v>
      </c>
      <c r="B26" s="3"/>
      <c r="C26" s="1"/>
      <c r="D26" s="1"/>
      <c r="G26" s="5"/>
    </row>
    <row r="27" spans="1:7" ht="17.25" customHeight="1" x14ac:dyDescent="0.25">
      <c r="A27" s="1" t="s">
        <v>69</v>
      </c>
      <c r="B27" s="3"/>
      <c r="C27" s="1"/>
      <c r="D27" s="1"/>
      <c r="G27" s="5"/>
    </row>
    <row r="28" spans="1:7" ht="17.25" customHeight="1" x14ac:dyDescent="0.25">
      <c r="A28" s="1" t="s">
        <v>70</v>
      </c>
      <c r="B28" s="3"/>
      <c r="C28" s="1"/>
      <c r="D28" s="1"/>
      <c r="G28" s="5"/>
    </row>
    <row r="29" spans="1:7" ht="17.25" customHeight="1" x14ac:dyDescent="0.25">
      <c r="A29" s="1" t="s">
        <v>71</v>
      </c>
      <c r="B29" s="3">
        <v>43329</v>
      </c>
      <c r="C29" s="1" t="s">
        <v>99</v>
      </c>
      <c r="D29" s="1" t="s">
        <v>92</v>
      </c>
      <c r="E29" s="6" t="s">
        <v>103</v>
      </c>
      <c r="F29" t="s">
        <v>100</v>
      </c>
      <c r="G29" s="5">
        <v>43166</v>
      </c>
    </row>
    <row r="30" spans="1:7" ht="17.25" customHeight="1" x14ac:dyDescent="0.25">
      <c r="A30" s="1" t="s">
        <v>72</v>
      </c>
      <c r="B30" s="3">
        <v>43889</v>
      </c>
      <c r="C30" s="1" t="s">
        <v>91</v>
      </c>
      <c r="D30" s="1" t="s">
        <v>93</v>
      </c>
      <c r="E30" s="6" t="s">
        <v>104</v>
      </c>
      <c r="F30" t="s">
        <v>94</v>
      </c>
      <c r="G30" s="5">
        <v>43789</v>
      </c>
    </row>
    <row r="31" spans="1:7" ht="17.25" customHeight="1" x14ac:dyDescent="0.25">
      <c r="A31" s="1" t="s">
        <v>73</v>
      </c>
      <c r="B31" s="3">
        <v>43620</v>
      </c>
      <c r="C31" s="1" t="s">
        <v>101</v>
      </c>
      <c r="D31" s="1" t="s">
        <v>95</v>
      </c>
      <c r="E31" s="6" t="s">
        <v>105</v>
      </c>
      <c r="F31" t="s">
        <v>102</v>
      </c>
      <c r="G31" s="5">
        <v>42995</v>
      </c>
    </row>
    <row r="32" spans="1:7" ht="17.25" customHeight="1" x14ac:dyDescent="0.25">
      <c r="A32" s="1" t="s">
        <v>74</v>
      </c>
      <c r="B32" s="3">
        <v>29973</v>
      </c>
      <c r="C32" s="1" t="s">
        <v>97</v>
      </c>
      <c r="D32" s="1" t="s">
        <v>96</v>
      </c>
      <c r="F32" t="s">
        <v>98</v>
      </c>
      <c r="G32" s="5">
        <v>29398</v>
      </c>
    </row>
    <row r="33" spans="1:7" ht="17.25" customHeight="1" x14ac:dyDescent="0.25">
      <c r="A33" s="1" t="s">
        <v>75</v>
      </c>
      <c r="B33" s="3"/>
      <c r="C33" s="1"/>
      <c r="D33" s="1"/>
      <c r="G33" s="5"/>
    </row>
    <row r="34" spans="1:7" ht="17.25" customHeight="1" x14ac:dyDescent="0.25">
      <c r="A34" s="1" t="s">
        <v>76</v>
      </c>
      <c r="B34" s="3"/>
      <c r="C34" s="1"/>
      <c r="D34" s="1"/>
      <c r="G34" s="5"/>
    </row>
    <row r="35" spans="1:7" ht="17.25" customHeight="1" x14ac:dyDescent="0.25">
      <c r="A35" s="1" t="s">
        <v>77</v>
      </c>
      <c r="B35" s="3"/>
      <c r="C35" s="1"/>
      <c r="D35" s="1"/>
      <c r="E35" s="6"/>
      <c r="G35" s="5"/>
    </row>
    <row r="36" spans="1:7" ht="17.25" customHeight="1" x14ac:dyDescent="0.25">
      <c r="A36" s="1" t="s">
        <v>78</v>
      </c>
      <c r="B36" s="3"/>
      <c r="C36" s="1"/>
      <c r="D36" s="1"/>
    </row>
    <row r="37" spans="1:7" ht="17.25" customHeight="1" x14ac:dyDescent="0.25">
      <c r="A37" s="1" t="s">
        <v>79</v>
      </c>
      <c r="B37" s="3"/>
      <c r="C37" s="1"/>
      <c r="D37" s="1"/>
    </row>
    <row r="38" spans="1:7" ht="17.25" customHeight="1" x14ac:dyDescent="0.25">
      <c r="A38" s="1" t="s">
        <v>80</v>
      </c>
      <c r="B38" s="3"/>
      <c r="C38" s="1"/>
      <c r="D38" s="1"/>
    </row>
  </sheetData>
  <hyperlinks>
    <hyperlink ref="A2" r:id="rId1" display="https://patents.google.com/patent/CN102276317B/en"/>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test">
                <anchor moveWithCells="1" sizeWithCells="1">
                  <from>
                    <xdr:col>8</xdr:col>
                    <xdr:colOff>152400</xdr:colOff>
                    <xdr:row>0</xdr:row>
                    <xdr:rowOff>257175</xdr:rowOff>
                  </from>
                  <to>
                    <xdr:col>10</xdr:col>
                    <xdr:colOff>142875</xdr:colOff>
                    <xdr:row>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7"/>
  <sheetViews>
    <sheetView topLeftCell="A35" workbookViewId="0">
      <selection activeCell="E1" sqref="E1:E37"/>
    </sheetView>
  </sheetViews>
  <sheetFormatPr defaultRowHeight="15" x14ac:dyDescent="0.25"/>
  <cols>
    <col min="1" max="1" width="20" customWidth="1"/>
  </cols>
  <sheetData>
    <row r="1" spans="1:5" ht="45" x14ac:dyDescent="0.25">
      <c r="A1" s="7" t="s">
        <v>0</v>
      </c>
      <c r="B1" t="s">
        <v>44</v>
      </c>
      <c r="C1">
        <f>LEN(B1)</f>
        <v>34</v>
      </c>
      <c r="D1" t="str">
        <f>RIGHT(A1,LEN(A1)-34)</f>
        <v>CN102276317B/en</v>
      </c>
      <c r="E1" t="str">
        <f>LEFT(D1,LEN(D1)-3)</f>
        <v>CN102276317B</v>
      </c>
    </row>
    <row r="2" spans="1:5" ht="105" x14ac:dyDescent="0.25">
      <c r="A2" s="1" t="s">
        <v>1</v>
      </c>
      <c r="D2" t="str">
        <f t="shared" ref="D2:D37" si="0">RIGHT(A2,LEN(A2)-34)</f>
        <v>CN101967292B/en</v>
      </c>
      <c r="E2" t="str">
        <f t="shared" ref="E2:E37" si="1">LEFT(D2,LEN(D2)-3)</f>
        <v>CN101967292B</v>
      </c>
    </row>
    <row r="3" spans="1:5" ht="105" x14ac:dyDescent="0.25">
      <c r="A3" s="1" t="s">
        <v>2</v>
      </c>
      <c r="D3" t="str">
        <f t="shared" si="0"/>
        <v>CN101525856B/en</v>
      </c>
      <c r="E3" t="str">
        <f t="shared" si="1"/>
        <v>CN101525856B</v>
      </c>
    </row>
    <row r="4" spans="1:5" ht="105" x14ac:dyDescent="0.25">
      <c r="A4" s="1" t="s">
        <v>3</v>
      </c>
      <c r="D4" t="str">
        <f t="shared" si="0"/>
        <v>CN101993558A/en</v>
      </c>
      <c r="E4" t="str">
        <f t="shared" si="1"/>
        <v>CN101993558A</v>
      </c>
    </row>
    <row r="5" spans="1:5" ht="105" x14ac:dyDescent="0.25">
      <c r="A5" s="1" t="s">
        <v>4</v>
      </c>
      <c r="D5" t="str">
        <f t="shared" si="0"/>
        <v>CN106987500B/en</v>
      </c>
      <c r="E5" t="str">
        <f t="shared" si="1"/>
        <v>CN106987500B</v>
      </c>
    </row>
    <row r="6" spans="1:5" ht="105" x14ac:dyDescent="0.25">
      <c r="A6" s="1" t="s">
        <v>5</v>
      </c>
      <c r="D6" t="str">
        <f t="shared" si="0"/>
        <v>CN101664103A/en</v>
      </c>
      <c r="E6" t="str">
        <f t="shared" si="1"/>
        <v>CN101664103A</v>
      </c>
    </row>
    <row r="7" spans="1:5" ht="105" x14ac:dyDescent="0.25">
      <c r="A7" s="1" t="s">
        <v>6</v>
      </c>
      <c r="D7" t="str">
        <f t="shared" si="0"/>
        <v>CN102210244A/en</v>
      </c>
      <c r="E7" t="str">
        <f t="shared" si="1"/>
        <v>CN102210244A</v>
      </c>
    </row>
    <row r="8" spans="1:5" ht="105" x14ac:dyDescent="0.25">
      <c r="A8" s="1" t="s">
        <v>7</v>
      </c>
      <c r="D8" t="str">
        <f t="shared" si="0"/>
        <v>CN103333923A/en</v>
      </c>
      <c r="E8" t="str">
        <f t="shared" si="1"/>
        <v>CN103333923A</v>
      </c>
    </row>
    <row r="9" spans="1:5" ht="105" x14ac:dyDescent="0.25">
      <c r="A9" s="1" t="s">
        <v>8</v>
      </c>
      <c r="D9" t="str">
        <f t="shared" si="0"/>
        <v>CN101967291B/en</v>
      </c>
      <c r="E9" t="str">
        <f t="shared" si="1"/>
        <v>CN101967291B</v>
      </c>
    </row>
    <row r="10" spans="1:5" ht="105" x14ac:dyDescent="0.25">
      <c r="A10" s="1" t="s">
        <v>9</v>
      </c>
      <c r="D10" t="str">
        <f t="shared" si="0"/>
        <v>CN104757415B/en</v>
      </c>
      <c r="E10" t="str">
        <f t="shared" si="1"/>
        <v>CN104757415B</v>
      </c>
    </row>
    <row r="11" spans="1:5" ht="105" x14ac:dyDescent="0.25">
      <c r="A11" s="1" t="s">
        <v>10</v>
      </c>
      <c r="D11" t="str">
        <f t="shared" si="0"/>
        <v>CN101967290B/en</v>
      </c>
      <c r="E11" t="str">
        <f t="shared" si="1"/>
        <v>CN101967290B</v>
      </c>
    </row>
    <row r="12" spans="1:5" ht="105" x14ac:dyDescent="0.25">
      <c r="A12" s="1" t="s">
        <v>11</v>
      </c>
      <c r="D12" t="str">
        <f t="shared" si="0"/>
        <v>CN101182249B/en</v>
      </c>
      <c r="E12" t="str">
        <f t="shared" si="1"/>
        <v>CN101182249B</v>
      </c>
    </row>
    <row r="13" spans="1:5" ht="105" x14ac:dyDescent="0.25">
      <c r="A13" s="1" t="s">
        <v>12</v>
      </c>
      <c r="D13" t="str">
        <f t="shared" si="0"/>
        <v>CN105505819B/en</v>
      </c>
      <c r="E13" t="str">
        <f t="shared" si="1"/>
        <v>CN105505819B</v>
      </c>
    </row>
    <row r="14" spans="1:5" ht="105" x14ac:dyDescent="0.25">
      <c r="A14" s="1" t="s">
        <v>13</v>
      </c>
      <c r="D14" t="str">
        <f t="shared" si="0"/>
        <v>CN101665700A/en</v>
      </c>
      <c r="E14" t="str">
        <f t="shared" si="1"/>
        <v>CN101665700A</v>
      </c>
    </row>
    <row r="15" spans="1:5" ht="105" x14ac:dyDescent="0.25">
      <c r="A15" s="1" t="s">
        <v>14</v>
      </c>
      <c r="D15" t="str">
        <f t="shared" si="0"/>
        <v>CN101830749B/en</v>
      </c>
      <c r="E15" t="str">
        <f t="shared" si="1"/>
        <v>CN101830749B</v>
      </c>
    </row>
    <row r="16" spans="1:5" ht="105" x14ac:dyDescent="0.25">
      <c r="A16" s="1" t="s">
        <v>15</v>
      </c>
      <c r="D16" t="str">
        <f t="shared" si="0"/>
        <v>CN106348817A/en</v>
      </c>
      <c r="E16" t="str">
        <f t="shared" si="1"/>
        <v>CN106348817A</v>
      </c>
    </row>
    <row r="17" spans="1:5" ht="90" x14ac:dyDescent="0.25">
      <c r="A17" s="1" t="s">
        <v>16</v>
      </c>
      <c r="D17" t="str">
        <f t="shared" si="0"/>
        <v>CN1413923A/en</v>
      </c>
      <c r="E17" t="str">
        <f t="shared" si="1"/>
        <v>CN1413923A</v>
      </c>
    </row>
    <row r="18" spans="1:5" ht="105" x14ac:dyDescent="0.25">
      <c r="A18" s="1" t="s">
        <v>17</v>
      </c>
      <c r="D18" t="str">
        <f t="shared" si="0"/>
        <v>CN107034152A/en</v>
      </c>
      <c r="E18" t="str">
        <f t="shared" si="1"/>
        <v>CN107034152A</v>
      </c>
    </row>
    <row r="19" spans="1:5" ht="105" x14ac:dyDescent="0.25">
      <c r="A19" s="1" t="s">
        <v>18</v>
      </c>
      <c r="D19" t="str">
        <f t="shared" si="0"/>
        <v>DE69103890D1/en</v>
      </c>
      <c r="E19" t="str">
        <f t="shared" si="1"/>
        <v>DE69103890D1</v>
      </c>
    </row>
    <row r="20" spans="1:5" ht="90" x14ac:dyDescent="0.25">
      <c r="A20" s="1" t="s">
        <v>19</v>
      </c>
      <c r="D20" t="str">
        <f t="shared" si="0"/>
        <v>UA117563U/en</v>
      </c>
      <c r="E20" t="str">
        <f t="shared" si="1"/>
        <v>UA117563U</v>
      </c>
    </row>
    <row r="21" spans="1:5" ht="105" x14ac:dyDescent="0.25">
      <c r="A21" s="1" t="s">
        <v>20</v>
      </c>
      <c r="D21" t="str">
        <f t="shared" si="0"/>
        <v>CL2011001039A1/en</v>
      </c>
      <c r="E21" t="str">
        <f t="shared" si="1"/>
        <v>CL2011001039A1</v>
      </c>
    </row>
    <row r="22" spans="1:5" ht="90" x14ac:dyDescent="0.25">
      <c r="A22" s="1" t="s">
        <v>21</v>
      </c>
      <c r="D22" t="str">
        <f t="shared" si="0"/>
        <v>US4839060A/en</v>
      </c>
      <c r="E22" t="str">
        <f t="shared" si="1"/>
        <v>US4839060A</v>
      </c>
    </row>
    <row r="23" spans="1:5" ht="105" x14ac:dyDescent="0.25">
      <c r="A23" s="1" t="s">
        <v>22</v>
      </c>
      <c r="D23" t="str">
        <f t="shared" si="0"/>
        <v>CN104326621A/en</v>
      </c>
      <c r="E23" t="str">
        <f t="shared" si="1"/>
        <v>CN104326621A</v>
      </c>
    </row>
    <row r="24" spans="1:5" ht="105" x14ac:dyDescent="0.25">
      <c r="A24" s="1" t="s">
        <v>23</v>
      </c>
      <c r="D24" t="str">
        <f t="shared" si="0"/>
        <v>CN201540472U/en</v>
      </c>
      <c r="E24" t="str">
        <f t="shared" si="1"/>
        <v>CN201540472U</v>
      </c>
    </row>
    <row r="25" spans="1:5" ht="105" x14ac:dyDescent="0.25">
      <c r="A25" s="1" t="s">
        <v>24</v>
      </c>
      <c r="D25" t="str">
        <f t="shared" si="0"/>
        <v>CN102559766A/en</v>
      </c>
      <c r="E25" t="str">
        <f t="shared" si="1"/>
        <v>CN102559766A</v>
      </c>
    </row>
    <row r="26" spans="1:5" ht="105" x14ac:dyDescent="0.25">
      <c r="A26" s="1" t="s">
        <v>25</v>
      </c>
      <c r="D26" t="str">
        <f t="shared" si="0"/>
        <v>CN104560752A/en</v>
      </c>
      <c r="E26" t="str">
        <f t="shared" si="1"/>
        <v>CN104560752A</v>
      </c>
    </row>
    <row r="27" spans="1:5" ht="105" x14ac:dyDescent="0.25">
      <c r="A27" s="1" t="s">
        <v>26</v>
      </c>
      <c r="D27" t="str">
        <f t="shared" si="0"/>
        <v>CN107522692A/en</v>
      </c>
      <c r="E27" t="str">
        <f t="shared" si="1"/>
        <v>CN107522692A</v>
      </c>
    </row>
    <row r="28" spans="1:5" ht="105" x14ac:dyDescent="0.25">
      <c r="A28" s="1" t="s">
        <v>27</v>
      </c>
      <c r="D28" t="str">
        <f t="shared" si="0"/>
        <v>CN108410912A/en</v>
      </c>
      <c r="E28" t="str">
        <f t="shared" si="1"/>
        <v>CN108410912A</v>
      </c>
    </row>
    <row r="29" spans="1:5" ht="105" x14ac:dyDescent="0.25">
      <c r="A29" s="1" t="s">
        <v>28</v>
      </c>
      <c r="D29" t="str">
        <f t="shared" si="0"/>
        <v>CN110846356A/en</v>
      </c>
      <c r="E29" t="str">
        <f t="shared" si="1"/>
        <v>CN110846356A</v>
      </c>
    </row>
    <row r="30" spans="1:5" ht="105" x14ac:dyDescent="0.25">
      <c r="A30" s="1" t="s">
        <v>29</v>
      </c>
      <c r="D30" t="str">
        <f t="shared" si="0"/>
        <v>CN109831952A/en</v>
      </c>
      <c r="E30" t="str">
        <f t="shared" si="1"/>
        <v>CN109831952A</v>
      </c>
    </row>
    <row r="31" spans="1:5" ht="105" x14ac:dyDescent="0.25">
      <c r="A31" s="1" t="s">
        <v>30</v>
      </c>
      <c r="D31" t="str">
        <f t="shared" si="0"/>
        <v>JPS5712995A/en</v>
      </c>
      <c r="E31" t="str">
        <f t="shared" si="1"/>
        <v>JPS5712995A</v>
      </c>
    </row>
    <row r="32" spans="1:5" ht="105" x14ac:dyDescent="0.25">
      <c r="A32" s="1" t="s">
        <v>31</v>
      </c>
      <c r="D32" t="str">
        <f t="shared" si="0"/>
        <v>KR20030060003A/en</v>
      </c>
      <c r="E32" t="str">
        <f t="shared" si="1"/>
        <v>KR20030060003A</v>
      </c>
    </row>
    <row r="33" spans="1:5" ht="105" x14ac:dyDescent="0.25">
      <c r="A33" s="1" t="s">
        <v>32</v>
      </c>
      <c r="D33" t="str">
        <f t="shared" si="0"/>
        <v>JPH10272491A/en</v>
      </c>
      <c r="E33" t="str">
        <f t="shared" si="1"/>
        <v>JPH10272491A</v>
      </c>
    </row>
    <row r="34" spans="1:5" ht="105" x14ac:dyDescent="0.25">
      <c r="A34" s="1" t="s">
        <v>33</v>
      </c>
      <c r="D34" t="str">
        <f t="shared" si="0"/>
        <v>CN105886577B/en</v>
      </c>
      <c r="E34" t="str">
        <f t="shared" si="1"/>
        <v>CN105886577B</v>
      </c>
    </row>
    <row r="35" spans="1:5" ht="105" x14ac:dyDescent="0.25">
      <c r="A35" s="1" t="s">
        <v>34</v>
      </c>
      <c r="D35" t="str">
        <f t="shared" si="0"/>
        <v>AU2000273123A1/en</v>
      </c>
      <c r="E35" t="str">
        <f t="shared" si="1"/>
        <v>AU2000273123A1</v>
      </c>
    </row>
    <row r="36" spans="1:5" ht="105" x14ac:dyDescent="0.25">
      <c r="A36" s="1" t="s">
        <v>35</v>
      </c>
      <c r="D36" t="str">
        <f t="shared" si="0"/>
        <v>WO2002022730A1/en</v>
      </c>
      <c r="E36" t="str">
        <f t="shared" si="1"/>
        <v>WO2002022730A1</v>
      </c>
    </row>
    <row r="37" spans="1:5" ht="105" x14ac:dyDescent="0.25">
      <c r="A37" s="1" t="s">
        <v>36</v>
      </c>
      <c r="D37" t="str">
        <f t="shared" si="0"/>
        <v>CN110615708A/en</v>
      </c>
      <c r="E37" t="str">
        <f t="shared" si="1"/>
        <v>CN110615708A</v>
      </c>
    </row>
  </sheetData>
  <hyperlinks>
    <hyperlink ref="A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Sushmita singh</dc:creator>
  <cp:lastModifiedBy>Sushmita singh</cp:lastModifiedBy>
  <dcterms:created xsi:type="dcterms:W3CDTF">2020-12-22T12:38:45Z</dcterms:created>
  <dcterms:modified xsi:type="dcterms:W3CDTF">2020-12-22T18:37:44Z</dcterms:modified>
</cp:coreProperties>
</file>